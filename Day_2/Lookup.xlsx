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tan Sharma\Desktop\ASDC\TOT\Day_2\"/>
    </mc:Choice>
  </mc:AlternateContent>
  <xr:revisionPtr revIDLastSave="0" documentId="8_{DFEA7B0C-E07D-419B-BC03-94E4BDDEDC69}" xr6:coauthVersionLast="47" xr6:coauthVersionMax="47" xr10:uidLastSave="{00000000-0000-0000-0000-000000000000}"/>
  <bookViews>
    <workbookView xWindow="-120" yWindow="-120" windowWidth="20730" windowHeight="11040" activeTab="3" xr2:uid="{DFE018F3-64A9-473E-B1CD-A6074C6AB854}"/>
  </bookViews>
  <sheets>
    <sheet name="vlookup" sheetId="2" r:id="rId1"/>
    <sheet name="hLookup" sheetId="3" r:id="rId2"/>
    <sheet name="xlookup" sheetId="1" r:id="rId3"/>
    <sheet name="Teac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5" i="1" l="1" a="1"/>
  <c r="H5" i="1" s="1"/>
  <c r="H8" i="3"/>
  <c r="I8" i="3"/>
  <c r="G8" i="3"/>
  <c r="C7" i="3"/>
  <c r="B10" i="2"/>
  <c r="C10" i="2"/>
  <c r="D10" i="2"/>
  <c r="I12" i="2"/>
  <c r="H12" i="2"/>
  <c r="G12" i="2"/>
  <c r="H8" i="2"/>
  <c r="I8" i="2" s="1"/>
  <c r="H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<sst xmlns="http://schemas.openxmlformats.org/spreadsheetml/2006/main" count="105" uniqueCount="41">
  <si>
    <t>Emp ID</t>
  </si>
  <si>
    <t>Name</t>
  </si>
  <si>
    <t>Dept ID</t>
  </si>
  <si>
    <t>Salary</t>
  </si>
  <si>
    <t>E101</t>
  </si>
  <si>
    <t>Rahul Mehta</t>
  </si>
  <si>
    <t>D01</t>
  </si>
  <si>
    <t>E102</t>
  </si>
  <si>
    <t>Neha Sharma</t>
  </si>
  <si>
    <t>D02</t>
  </si>
  <si>
    <t>E103</t>
  </si>
  <si>
    <t>Aman Verma</t>
  </si>
  <si>
    <t>D03</t>
  </si>
  <si>
    <t>E104</t>
  </si>
  <si>
    <t>Pooja Singh</t>
  </si>
  <si>
    <t>E105</t>
  </si>
  <si>
    <t>Karan Patel</t>
  </si>
  <si>
    <t>D04</t>
  </si>
  <si>
    <t>HR</t>
  </si>
  <si>
    <t>IT</t>
  </si>
  <si>
    <t>Finance</t>
  </si>
  <si>
    <t>Marketing</t>
  </si>
  <si>
    <t>Department</t>
  </si>
  <si>
    <t>E201</t>
  </si>
  <si>
    <t>E202</t>
  </si>
  <si>
    <t>E203</t>
  </si>
  <si>
    <t>E204</t>
  </si>
  <si>
    <t>E205</t>
  </si>
  <si>
    <t>Rahul</t>
  </si>
  <si>
    <t>Neha</t>
  </si>
  <si>
    <t>Aman</t>
  </si>
  <si>
    <t>Pooja</t>
  </si>
  <si>
    <t>Karan</t>
  </si>
  <si>
    <t>Arjun</t>
  </si>
  <si>
    <t>Priya</t>
  </si>
  <si>
    <t>Rohit</t>
  </si>
  <si>
    <t>Kunal</t>
  </si>
  <si>
    <t xml:space="preserve"> </t>
  </si>
  <si>
    <t>This one is LookUp Value</t>
  </si>
  <si>
    <t>HLOOKUP($F$8,$A$1:$F$4,COLUMNS($F$7:G7),0)</t>
  </si>
  <si>
    <t>XLOOKUP(G5,A2:A6,B2:D6)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</si>
</sst>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040E3-3514-4C82-8F73-566C6304098A}">
  <dimension ref="A1:I14"/>
  <sheetViews>
    <sheetView topLeftCell="A7" zoomScale="205" zoomScaleNormal="205" workbookViewId="0">
      <selection activeCell="D13" sqref="D13"/>
    </sheetView>
  </sheetViews>
  <sheetFormatPr defaultRowHeight="15" x14ac:dyDescent="0.25"/>
  <cols>
    <col min="1" max="1" width="16.5703125" customWidth="1"/>
    <col min="2" max="2" width="18.42578125" customWidth="1"/>
    <col min="3" max="3" width="14" customWidth="1"/>
    <col min="4" max="4" width="18" customWidth="1"/>
    <col min="7" max="7" width="11.85546875" customWidth="1"/>
    <col min="8" max="8" width="13.140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9" ht="30" x14ac:dyDescent="0.25">
      <c r="A2" s="3" t="s">
        <v>4</v>
      </c>
      <c r="B2" s="3" t="s">
        <v>5</v>
      </c>
      <c r="C2" s="3" t="s">
        <v>6</v>
      </c>
      <c r="D2" s="3">
        <v>35000</v>
      </c>
    </row>
    <row r="3" spans="1:9" x14ac:dyDescent="0.25">
      <c r="A3" s="3" t="s">
        <v>7</v>
      </c>
      <c r="B3" s="3" t="s">
        <v>8</v>
      </c>
      <c r="C3" s="3" t="s">
        <v>9</v>
      </c>
      <c r="D3" s="3">
        <v>42000</v>
      </c>
      <c r="G3" s="2" t="s">
        <v>0</v>
      </c>
      <c r="H3" s="2" t="s">
        <v>1</v>
      </c>
    </row>
    <row r="4" spans="1:9" ht="30" x14ac:dyDescent="0.25">
      <c r="A4" s="3" t="s">
        <v>10</v>
      </c>
      <c r="B4" s="3" t="s">
        <v>11</v>
      </c>
      <c r="C4" s="3" t="s">
        <v>12</v>
      </c>
      <c r="D4" s="3">
        <v>30000</v>
      </c>
      <c r="G4" t="s">
        <v>4</v>
      </c>
      <c r="H4" t="str">
        <f>VLOOKUP(G4,A1:D6,2,0)</f>
        <v>Rahul Mehta</v>
      </c>
    </row>
    <row r="5" spans="1:9" ht="30" x14ac:dyDescent="0.25">
      <c r="A5" s="3" t="s">
        <v>13</v>
      </c>
      <c r="B5" s="3" t="s">
        <v>14</v>
      </c>
      <c r="C5" s="3" t="s">
        <v>6</v>
      </c>
      <c r="D5" s="3">
        <v>38000</v>
      </c>
    </row>
    <row r="6" spans="1:9" ht="30" x14ac:dyDescent="0.25">
      <c r="A6" s="3" t="s">
        <v>15</v>
      </c>
      <c r="B6" s="3" t="s">
        <v>16</v>
      </c>
      <c r="C6" s="3" t="s">
        <v>17</v>
      </c>
      <c r="D6" s="3">
        <v>45000</v>
      </c>
    </row>
    <row r="7" spans="1:9" x14ac:dyDescent="0.25">
      <c r="G7" s="2" t="s">
        <v>0</v>
      </c>
      <c r="H7" s="2" t="s">
        <v>1</v>
      </c>
      <c r="I7" s="2" t="s">
        <v>2</v>
      </c>
    </row>
    <row r="8" spans="1:9" x14ac:dyDescent="0.25">
      <c r="G8" t="s">
        <v>7</v>
      </c>
      <c r="H8" t="str">
        <f>VLOOKUP(G8,A1:D6,COLUMNS(G7:H7),0)</f>
        <v>Neha Sharma</v>
      </c>
      <c r="I8" t="str">
        <f>VLOOKUP(H8,B1:E6,COLUMNS(H7:I7),0)</f>
        <v>D02</v>
      </c>
    </row>
    <row r="9" spans="1:9" x14ac:dyDescent="0.25">
      <c r="A9" s="2" t="s">
        <v>0</v>
      </c>
      <c r="B9" s="2" t="s">
        <v>1</v>
      </c>
      <c r="C9" s="2" t="s">
        <v>2</v>
      </c>
      <c r="D9" s="2" t="s">
        <v>3</v>
      </c>
    </row>
    <row r="10" spans="1:9" x14ac:dyDescent="0.25">
      <c r="A10" s="4" t="s">
        <v>15</v>
      </c>
      <c r="B10" s="4" t="str">
        <f>VLOOKUP($A$10,$A$1:$D$6,COLUMNS($A$9:B9),0)</f>
        <v>Karan Patel</v>
      </c>
      <c r="C10" s="4" t="str">
        <f>VLOOKUP($A$10,$A$1:$D$6,COLUMNS($A$9:C9),0)</f>
        <v>D04</v>
      </c>
      <c r="D10" s="4">
        <f>VLOOKUP($A$10,$A$1:$D$6,COLUMNS($A$9:D9),0)</f>
        <v>45000</v>
      </c>
    </row>
    <row r="12" spans="1:9" x14ac:dyDescent="0.25">
      <c r="G12">
        <f>COLUMNS($G$11:G11)</f>
        <v>1</v>
      </c>
      <c r="H12">
        <f>COLUMNS($G$11:H11)</f>
        <v>2</v>
      </c>
      <c r="I12">
        <f>COLUMNS($G$11:I11)</f>
        <v>3</v>
      </c>
    </row>
    <row r="14" spans="1:9" x14ac:dyDescent="0.25">
      <c r="D14" t="s">
        <v>37</v>
      </c>
      <c r="I14" s="1"/>
    </row>
  </sheetData>
  <dataValidations count="1">
    <dataValidation type="list" allowBlank="1" showInputMessage="1" showErrorMessage="1" sqref="A10" xr:uid="{6E2A279A-C0FC-4B31-8CDF-3887D9094464}">
      <formula1>$A$2:$A$6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960E-543C-48F6-B774-35516F443EF1}">
  <dimension ref="A1:I12"/>
  <sheetViews>
    <sheetView zoomScale="310" zoomScaleNormal="310" workbookViewId="0">
      <selection activeCell="F13" sqref="F13"/>
    </sheetView>
  </sheetViews>
  <sheetFormatPr defaultRowHeight="15" x14ac:dyDescent="0.25"/>
  <cols>
    <col min="1" max="1" width="14" customWidth="1"/>
    <col min="6" max="6" width="26.5703125" customWidth="1"/>
    <col min="8" max="8" width="15.28515625" customWidth="1"/>
  </cols>
  <sheetData>
    <row r="1" spans="1:9" x14ac:dyDescent="0.25">
      <c r="A1" s="8" t="s">
        <v>0</v>
      </c>
      <c r="B1" s="10" t="s">
        <v>4</v>
      </c>
      <c r="C1" s="10" t="s">
        <v>7</v>
      </c>
      <c r="D1" s="10" t="s">
        <v>10</v>
      </c>
      <c r="E1" s="10" t="s">
        <v>13</v>
      </c>
      <c r="F1" s="10" t="s">
        <v>15</v>
      </c>
    </row>
    <row r="2" spans="1:9" x14ac:dyDescent="0.25">
      <c r="A2" s="9" t="s">
        <v>1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</row>
    <row r="3" spans="1:9" x14ac:dyDescent="0.25">
      <c r="A3" s="9" t="s">
        <v>22</v>
      </c>
      <c r="B3" s="5" t="s">
        <v>18</v>
      </c>
      <c r="C3" s="5" t="s">
        <v>19</v>
      </c>
      <c r="D3" s="5" t="s">
        <v>20</v>
      </c>
      <c r="E3" s="5" t="s">
        <v>18</v>
      </c>
      <c r="F3" s="5" t="s">
        <v>21</v>
      </c>
    </row>
    <row r="4" spans="1:9" x14ac:dyDescent="0.25">
      <c r="A4" s="9" t="s">
        <v>3</v>
      </c>
      <c r="B4" s="5">
        <v>35000</v>
      </c>
      <c r="C4" s="5">
        <v>42000</v>
      </c>
      <c r="D4" s="5">
        <v>30000</v>
      </c>
      <c r="E4" s="5">
        <v>38000</v>
      </c>
      <c r="F4" s="5">
        <v>45000</v>
      </c>
    </row>
    <row r="6" spans="1:9" x14ac:dyDescent="0.25">
      <c r="B6" s="7" t="s">
        <v>0</v>
      </c>
      <c r="C6" s="7" t="s">
        <v>1</v>
      </c>
    </row>
    <row r="7" spans="1:9" x14ac:dyDescent="0.25">
      <c r="B7" s="6" t="s">
        <v>4</v>
      </c>
      <c r="C7" s="6" t="str">
        <f>HLOOKUP(B7,A1:F4,2,0)</f>
        <v>Rahul</v>
      </c>
      <c r="F7" s="10" t="s">
        <v>0</v>
      </c>
      <c r="G7" s="9" t="s">
        <v>1</v>
      </c>
      <c r="H7" s="9" t="s">
        <v>22</v>
      </c>
      <c r="I7" s="9" t="s">
        <v>3</v>
      </c>
    </row>
    <row r="8" spans="1:9" x14ac:dyDescent="0.25">
      <c r="F8" t="s">
        <v>10</v>
      </c>
      <c r="G8" t="str">
        <f>HLOOKUP($F$8,$A$1:$F$4,COLUMNS($F$7:G7),0)</f>
        <v>Aman</v>
      </c>
      <c r="H8" t="str">
        <f>HLOOKUP($F$8,$A$1:$F$4,COLUMNS($F$7:H7),0)</f>
        <v>Finance</v>
      </c>
      <c r="I8">
        <f>HLOOKUP($F$8,$A$1:$F$4,COLUMNS($F$7:I7),0)</f>
        <v>30000</v>
      </c>
    </row>
    <row r="10" spans="1:9" x14ac:dyDescent="0.25">
      <c r="F10" t="s">
        <v>38</v>
      </c>
    </row>
    <row r="12" spans="1:9" x14ac:dyDescent="0.25">
      <c r="D12" t="s">
        <v>39</v>
      </c>
    </row>
  </sheetData>
  <dataValidations count="1">
    <dataValidation type="list" allowBlank="1" showInputMessage="1" showErrorMessage="1" sqref="F8" xr:uid="{18F6CD37-0A5E-43AF-BC38-8A29C36719FD}">
      <formula1>$B$1:$F$1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CF14-ACA3-491F-B2AF-AE8931CC618E}">
  <dimension ref="A1:J8"/>
  <sheetViews>
    <sheetView zoomScale="76" zoomScaleNormal="130" workbookViewId="0">
      <selection sqref="A1:D6"/>
    </sheetView>
  </sheetViews>
  <sheetFormatPr defaultRowHeight="15" x14ac:dyDescent="0.25"/>
  <cols>
    <col min="1" max="1" width="7.140625" bestFit="1" customWidth="1"/>
    <col min="2" max="2" width="12.140625" bestFit="1" customWidth="1"/>
    <col min="3" max="4" width="11.7109375" bestFit="1" customWidth="1"/>
    <col min="7" max="7" width="14" customWidth="1"/>
    <col min="9" max="9" width="14.7109375" customWidth="1"/>
  </cols>
  <sheetData>
    <row r="1" spans="1:10" x14ac:dyDescent="0.25">
      <c r="A1" s="2" t="s">
        <v>0</v>
      </c>
      <c r="B1" s="2" t="s">
        <v>1</v>
      </c>
      <c r="C1" s="2" t="s">
        <v>22</v>
      </c>
      <c r="D1" s="2" t="s">
        <v>3</v>
      </c>
    </row>
    <row r="2" spans="1:10" x14ac:dyDescent="0.25">
      <c r="A2" s="3" t="s">
        <v>23</v>
      </c>
      <c r="B2" s="3" t="s">
        <v>33</v>
      </c>
      <c r="C2" s="3" t="s">
        <v>19</v>
      </c>
      <c r="D2" s="3">
        <v>55000</v>
      </c>
    </row>
    <row r="3" spans="1:10" x14ac:dyDescent="0.25">
      <c r="A3" s="3" t="s">
        <v>24</v>
      </c>
      <c r="B3" s="3" t="s">
        <v>34</v>
      </c>
      <c r="C3" s="3" t="s">
        <v>18</v>
      </c>
      <c r="D3" s="3">
        <v>42000</v>
      </c>
    </row>
    <row r="4" spans="1:10" ht="30" x14ac:dyDescent="0.25">
      <c r="A4" s="3" t="s">
        <v>25</v>
      </c>
      <c r="B4" s="3" t="s">
        <v>35</v>
      </c>
      <c r="C4" s="3" t="s">
        <v>20</v>
      </c>
      <c r="D4" s="3">
        <v>48000</v>
      </c>
      <c r="G4" s="2" t="s">
        <v>0</v>
      </c>
      <c r="H4" s="2" t="s">
        <v>1</v>
      </c>
      <c r="I4" s="2" t="s">
        <v>22</v>
      </c>
      <c r="J4" s="2" t="s">
        <v>3</v>
      </c>
    </row>
    <row r="5" spans="1:10" x14ac:dyDescent="0.25">
      <c r="A5" s="3" t="s">
        <v>26</v>
      </c>
      <c r="B5" s="3" t="s">
        <v>29</v>
      </c>
      <c r="C5" s="3" t="s">
        <v>21</v>
      </c>
      <c r="D5" s="3">
        <v>46000</v>
      </c>
      <c r="G5" s="4" t="s">
        <v>23</v>
      </c>
      <c r="H5" s="4" t="str" cm="1">
        <f t="array" ref="H5:J5">_xlfn.XLOOKUP(G5,A2:A6,B2:D6)</f>
        <v>Arjun</v>
      </c>
      <c r="I5" s="4" t="str">
        <v>IT</v>
      </c>
      <c r="J5" s="4">
        <v>55000</v>
      </c>
    </row>
    <row r="6" spans="1:10" x14ac:dyDescent="0.25">
      <c r="A6" s="3" t="s">
        <v>27</v>
      </c>
      <c r="B6" s="3" t="s">
        <v>36</v>
      </c>
      <c r="C6" s="3" t="s">
        <v>19</v>
      </c>
      <c r="D6" s="3">
        <v>60000</v>
      </c>
      <c r="G6" s="1"/>
      <c r="H6" s="1"/>
      <c r="I6" s="1"/>
      <c r="J6" s="1"/>
    </row>
    <row r="7" spans="1:10" x14ac:dyDescent="0.25">
      <c r="G7" s="1"/>
      <c r="H7" s="1"/>
      <c r="I7" s="1"/>
      <c r="J7" s="1"/>
    </row>
    <row r="8" spans="1:10" x14ac:dyDescent="0.25">
      <c r="F8" t="s">
        <v>40</v>
      </c>
      <c r="G8" s="1"/>
      <c r="H8" s="1"/>
      <c r="I8" s="1"/>
      <c r="J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340AF-3A6A-426A-A9AA-32C6D13BB306}">
  <dimension ref="A1:E8"/>
  <sheetViews>
    <sheetView tabSelected="1" zoomScale="190" zoomScaleNormal="190" workbookViewId="0">
      <selection activeCell="G6" sqref="G6"/>
    </sheetView>
  </sheetViews>
  <sheetFormatPr defaultRowHeight="15" x14ac:dyDescent="0.25"/>
  <cols>
    <col min="3" max="3" width="9.140625" customWidth="1"/>
  </cols>
  <sheetData>
    <row r="1" spans="1:5" ht="30" x14ac:dyDescent="0.25">
      <c r="A1" s="2" t="s">
        <v>0</v>
      </c>
      <c r="B1" s="2" t="s">
        <v>1</v>
      </c>
      <c r="C1" s="2" t="s">
        <v>22</v>
      </c>
      <c r="D1" s="2" t="s">
        <v>3</v>
      </c>
      <c r="E1" s="12"/>
    </row>
    <row r="2" spans="1:5" x14ac:dyDescent="0.25">
      <c r="A2" s="3" t="s">
        <v>23</v>
      </c>
      <c r="B2" s="3" t="s">
        <v>33</v>
      </c>
      <c r="C2" s="3" t="s">
        <v>19</v>
      </c>
      <c r="D2" s="3">
        <v>55000</v>
      </c>
    </row>
    <row r="3" spans="1:5" x14ac:dyDescent="0.25">
      <c r="A3" s="3" t="s">
        <v>24</v>
      </c>
      <c r="B3" s="3" t="s">
        <v>34</v>
      </c>
      <c r="C3" s="3" t="s">
        <v>18</v>
      </c>
      <c r="D3" s="3">
        <v>42000</v>
      </c>
    </row>
    <row r="4" spans="1:5" x14ac:dyDescent="0.25">
      <c r="A4" s="3" t="s">
        <v>25</v>
      </c>
      <c r="B4" s="3" t="s">
        <v>35</v>
      </c>
      <c r="C4" s="3" t="s">
        <v>20</v>
      </c>
      <c r="D4" s="3">
        <v>48000</v>
      </c>
    </row>
    <row r="5" spans="1:5" ht="30" x14ac:dyDescent="0.25">
      <c r="A5" s="3" t="s">
        <v>26</v>
      </c>
      <c r="B5" s="3" t="s">
        <v>29</v>
      </c>
      <c r="C5" s="3" t="s">
        <v>21</v>
      </c>
      <c r="D5" s="3">
        <v>46000</v>
      </c>
    </row>
    <row r="6" spans="1:5" x14ac:dyDescent="0.25">
      <c r="A6" s="3" t="s">
        <v>27</v>
      </c>
      <c r="B6" s="3" t="s">
        <v>36</v>
      </c>
      <c r="C6" s="3" t="s">
        <v>19</v>
      </c>
      <c r="D6" s="3">
        <v>60000</v>
      </c>
    </row>
    <row r="7" spans="1:5" x14ac:dyDescent="0.25">
      <c r="B7" s="11"/>
      <c r="C7" s="11"/>
    </row>
    <row r="8" spans="1:5" x14ac:dyDescent="0.25">
      <c r="B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hLookup</vt:lpstr>
      <vt:lpstr>xlookup</vt:lpstr>
      <vt:lpstr>Teach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Sharma</dc:creator>
  <cp:lastModifiedBy>Chetan Sharma</cp:lastModifiedBy>
  <dcterms:created xsi:type="dcterms:W3CDTF">2026-01-29T03:55:51Z</dcterms:created>
  <dcterms:modified xsi:type="dcterms:W3CDTF">2026-01-29T05:26:42Z</dcterms:modified>
</cp:coreProperties>
</file>